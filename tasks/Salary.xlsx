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25" sheetId="1" r:id="rId4"/>
    <sheet state="hidden" name="Aug25" sheetId="2" r:id="rId5"/>
    <sheet state="hidden" name="Sep25" sheetId="3" r:id="rId6"/>
    <sheet state="hidden" name="Oct25" sheetId="4" r:id="rId7"/>
    <sheet state="hidden" name="Nov25" sheetId="5" r:id="rId8"/>
    <sheet state="hidden" name="Dec25" sheetId="6" r:id="rId9"/>
    <sheet state="visible" name="Jan26" sheetId="7" r:id="rId10"/>
    <sheet state="visible" name="Feb26" sheetId="8" r:id="rId11"/>
    <sheet state="visible" name="Mar26" sheetId="9" r:id="rId12"/>
    <sheet state="visible" name="Apr26" sheetId="10" r:id="rId13"/>
    <sheet state="visible" name="May26" sheetId="11" r:id="rId14"/>
    <sheet state="visible" name="June26" sheetId="12" r:id="rId15"/>
  </sheets>
  <definedNames/>
  <calcPr/>
  <extLst>
    <ext uri="GoogleSheetsCustomDataVersion2">
      <go:sheetsCustomData xmlns:go="http://customooxmlschemas.google.com/" r:id="rId16" roundtripDataChecksum="kZAvmzvUm704euQqL9oymdkrYG78wMrhbASgq+2P3TE="/>
    </ext>
  </extLst>
</workbook>
</file>

<file path=xl/sharedStrings.xml><?xml version="1.0" encoding="utf-8"?>
<sst xmlns="http://schemas.openxmlformats.org/spreadsheetml/2006/main" count="486" uniqueCount="73">
  <si>
    <t>Payroll Month - July 2025
ESOL Premier Campus (Pvt) Limited
No 179, High Level Road, Pannipitiya, 10230</t>
  </si>
  <si>
    <t>1. Generic Information</t>
  </si>
  <si>
    <t>Employee ID</t>
  </si>
  <si>
    <t>EPC0005</t>
  </si>
  <si>
    <t>Employee Name</t>
  </si>
  <si>
    <t>V A Liyanage</t>
  </si>
  <si>
    <t>Employment Commencement</t>
  </si>
  <si>
    <t>Designation</t>
  </si>
  <si>
    <t>Executive - Administration</t>
  </si>
  <si>
    <t>Bank</t>
  </si>
  <si>
    <t>People's Bank</t>
  </si>
  <si>
    <t>Bank Branch</t>
  </si>
  <si>
    <t>Battaramulla</t>
  </si>
  <si>
    <t>Bank Account Number</t>
  </si>
  <si>
    <t xml:space="preserve">2. Payroll Information </t>
  </si>
  <si>
    <t>Basic Salary</t>
  </si>
  <si>
    <t>Transportation</t>
  </si>
  <si>
    <t>Education</t>
  </si>
  <si>
    <t>Total Pay</t>
  </si>
  <si>
    <t>Salary Allocation</t>
  </si>
  <si>
    <t>Number of Working Days (Constant Allocation Per Month)</t>
  </si>
  <si>
    <t>Per Day Payroll Allocation (Total Monthly Salary/30)</t>
  </si>
  <si>
    <t>3. Payroll Calculation - July 2025 (25th June to 24th July)</t>
  </si>
  <si>
    <t xml:space="preserve">Number of Working Days (*Including Company Vacations) </t>
  </si>
  <si>
    <t>Gross Earning - July 2025</t>
  </si>
  <si>
    <t>3.1. Breakdown - Gross Earning</t>
  </si>
  <si>
    <t>Total Allowance</t>
  </si>
  <si>
    <t>Total Gross Earning</t>
  </si>
  <si>
    <t>Gross Earning - Breakdown</t>
  </si>
  <si>
    <t xml:space="preserve">3.2. Statutory Payments </t>
  </si>
  <si>
    <t>EPF Payment [12%]</t>
  </si>
  <si>
    <t>ETF Payment [03%]</t>
  </si>
  <si>
    <t>Total</t>
  </si>
  <si>
    <t>4. Net Pay</t>
  </si>
  <si>
    <t>EPF Payment - Employee [08%]</t>
  </si>
  <si>
    <t>Stamp Duty</t>
  </si>
  <si>
    <t>Total Deductions</t>
  </si>
  <si>
    <t>Total Net Pay</t>
  </si>
  <si>
    <t>Payroll Month - August 2025
ESOL Premier Campus (Pvt) Limited
No 179, High Level Road, Pannipitiya, 10230</t>
  </si>
  <si>
    <t>3. Payroll Calculation - August 2025 (25th July to 24th August)</t>
  </si>
  <si>
    <t>Gross Earning - August 2025</t>
  </si>
  <si>
    <t>Payroll Month - September 2025
ESOL Premier Campus (Pvt) Limited
No 179, High Level Road, Pannipitiya, 10230</t>
  </si>
  <si>
    <t>3. Payroll Calculation - September 2025 (25th August to 24th September)</t>
  </si>
  <si>
    <t>Gross Earning - September 2025</t>
  </si>
  <si>
    <t>Payroll Month - October 2025
ESOL Premier Campus (Pvt) Limited
No 179, High Level Road, Pannipitiya, 10230</t>
  </si>
  <si>
    <t>3. Payroll Calculation - October 2025 (25th September to 24th October)</t>
  </si>
  <si>
    <t>Gross Earning - October 2025</t>
  </si>
  <si>
    <t>Payroll Month - November 2025
ESOL Premier Campus (Pvt) Limited
No 179, High Level Road, Pannipitiya, 10230</t>
  </si>
  <si>
    <t>3. Payroll Calculation - November 2025 (25th October to 24th November)</t>
  </si>
  <si>
    <t>Gross Earning - November 2025</t>
  </si>
  <si>
    <t>Payroll Month - December 2025
ESOL Premier Campus (Pvt) Limited
No 179, High Level Road, Pannipitiya, 10230</t>
  </si>
  <si>
    <t>3. Payroll Calculation - December 2025 (25th November to 24th December)</t>
  </si>
  <si>
    <t>Gross Earning - December 2025</t>
  </si>
  <si>
    <t>Payroll Month - January 2026
ESOL Premier Campus (Pvt) Limited
No 179, High Level Road, Pannipitiya, 10230</t>
  </si>
  <si>
    <t>3. Payroll Calculation - January 2026 (25th December to 24th January)</t>
  </si>
  <si>
    <t>Leave Entitlement Days</t>
  </si>
  <si>
    <t>Total Number of Days Entitled for Pay</t>
  </si>
  <si>
    <t>Gross Earning - January 2026</t>
  </si>
  <si>
    <t>Payroll Month - February 2026
ESOL Premier Campus (Pvt) Limited
No 179, High Level Road, Pannipitiya, 10230</t>
  </si>
  <si>
    <t>3. Payroll Calculation - February 2026 (25th January to 24th February)</t>
  </si>
  <si>
    <t>Gross Earning - February 2026</t>
  </si>
  <si>
    <t>Payroll Month - March 2026
ESOL Premier Campus (Pvt) Limited
No 179, High Level Road, Pannipitiya, 10230</t>
  </si>
  <si>
    <t>3. Payroll Calculation - March 2026 (25th February to 24th March)</t>
  </si>
  <si>
    <t>Gross Earning - March 2026</t>
  </si>
  <si>
    <t>Payroll Month - April 2026
ESOL Premier Campus (Pvt) Limited
No 179, High Level Road, Pannipitiya, 10230</t>
  </si>
  <si>
    <t>3. Payroll Calculation - April 2026 (25th March to 24th April)</t>
  </si>
  <si>
    <t>Gross Earning - April 2026</t>
  </si>
  <si>
    <t>Payroll Month - May 2026
ESOL Premier Campus (Pvt) Limited
No 179, High Level Road, Pannipitiya, 10230</t>
  </si>
  <si>
    <t>3. Payroll Calculation - May 2026 (25th April to 24th May)</t>
  </si>
  <si>
    <t>Gross Earning - May 2026</t>
  </si>
  <si>
    <t>Payroll Month - July 2026
ESOL Premier Campus (Pvt) Limited
No 179, High Level Road, Pannipitiya, 10230</t>
  </si>
  <si>
    <t>3. Payroll Calculation - June 2026 (25th May to 24th June)</t>
  </si>
  <si>
    <t>Gross Earning - June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</si>
</sst>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_(* #,##0.00_);_(* \(#,##0.00\);_(* &quot;-&quot;??_);_(@_)"/>
    <numFmt numFmtId="166" formatCode="0.0"/>
  </numFmts>
  <fonts count="7">
    <font>
      <sz val="11.0"/>
      <color theme="1"/>
      <name val="Calibri"/>
      <scheme val="minor"/>
    </font>
    <font>
      <b/>
      <sz val="10.0"/>
      <color theme="1"/>
      <name val="Calibri"/>
    </font>
    <font>
      <b/>
      <u/>
      <sz val="10.0"/>
      <color theme="1"/>
      <name val="Calibri"/>
    </font>
    <font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7FFE5"/>
        <bgColor rgb="FFF7FFE5"/>
      </patternFill>
    </fill>
    <fill>
      <patternFill patternType="solid">
        <fgColor rgb="FFFFEBF5"/>
        <bgColor rgb="FFFFEBF5"/>
      </patternFill>
    </fill>
    <fill>
      <patternFill patternType="solid">
        <fgColor rgb="FFFFD1D1"/>
        <bgColor rgb="FFFFD1D1"/>
      </patternFill>
    </fill>
  </fills>
  <borders count="3">
    <border/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" fillId="2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vertical="center"/>
    </xf>
    <xf borderId="0" fillId="0" fontId="3" numFmtId="165" xfId="0" applyAlignment="1" applyFont="1" applyNumberFormat="1">
      <alignment readingOrder="0" vertical="center"/>
    </xf>
    <xf borderId="1" fillId="2" fontId="3" numFmtId="165" xfId="0" applyAlignment="1" applyBorder="1" applyFont="1" applyNumberFormat="1">
      <alignment vertical="center"/>
    </xf>
    <xf borderId="0" fillId="0" fontId="3" numFmtId="1" xfId="0" applyAlignment="1" applyFont="1" applyNumberFormat="1">
      <alignment horizontal="right" readingOrder="0" vertical="center"/>
    </xf>
    <xf borderId="1" fillId="3" fontId="4" numFmtId="0" xfId="0" applyAlignment="1" applyBorder="1" applyFill="1" applyFont="1">
      <alignment vertical="center"/>
    </xf>
    <xf borderId="1" fillId="3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1" numFmtId="165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" fillId="4" fontId="1" numFmtId="0" xfId="0" applyAlignment="1" applyBorder="1" applyFill="1" applyFont="1">
      <alignment vertical="center"/>
    </xf>
    <xf borderId="1" fillId="4" fontId="1" numFmtId="165" xfId="0" applyAlignment="1" applyBorder="1" applyFont="1" applyNumberForma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1" fillId="2" fontId="6" numFmtId="0" xfId="0" applyAlignment="1" applyBorder="1" applyFont="1">
      <alignment readingOrder="0" vertical="center"/>
    </xf>
    <xf borderId="0" fillId="0" fontId="3" numFmtId="166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3" t="s">
        <v>22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16">
        <v>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5" t="s">
        <v>24</v>
      </c>
      <c r="B20" s="13">
        <f>B19*E16</f>
        <v>7333.333333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4000</v>
      </c>
      <c r="C24" s="13">
        <f>(C16*B19)+(D16*B19)</f>
        <v>3333.333333</v>
      </c>
      <c r="D24" s="13">
        <f>SUM(B24:C24)</f>
        <v>7333.333333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7333.333333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480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120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7933.333333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320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345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6988.333333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38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39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28.5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40</v>
      </c>
      <c r="B20" s="13">
        <f>B19*E16</f>
        <v>52250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28500</v>
      </c>
      <c r="C24" s="13">
        <f>(C16*B19)+(D16*B19)</f>
        <v>23750</v>
      </c>
      <c r="D24" s="13">
        <f>SUM(B24:C24)</f>
        <v>52250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52250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3420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855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56525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2280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2305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49945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41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42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27.5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43</v>
      </c>
      <c r="B20" s="13">
        <f>B19*E16</f>
        <v>50416.66667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27500</v>
      </c>
      <c r="C24" s="13">
        <f>(C16*B19)+(D16*B19)</f>
        <v>22916.66667</v>
      </c>
      <c r="D24" s="13">
        <f>SUM(B24:C24)</f>
        <v>50416.66667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50416.66667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3300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825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54541.66667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2200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2225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48191.66667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44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45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29.0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46</v>
      </c>
      <c r="B20" s="13">
        <f>B19*E16</f>
        <v>53166.66667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29000</v>
      </c>
      <c r="C24" s="13">
        <f>(C16*B19)+(D16*B19)</f>
        <v>24166.66667</v>
      </c>
      <c r="D24" s="13">
        <f>SUM(B24:C24)</f>
        <v>53166.66667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53166.66667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3480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870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57516.66667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2320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2345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50821.66667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47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48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27.5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49</v>
      </c>
      <c r="B20" s="13">
        <f>B19*E16</f>
        <v>50416.66667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27500</v>
      </c>
      <c r="C24" s="13">
        <f>(C16*B19)+(D16*B19)</f>
        <v>22916.66667</v>
      </c>
      <c r="D24" s="13">
        <f>SUM(B24:C24)</f>
        <v>50416.66667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50416.66667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3300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825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54541.66667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2200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2225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48191.66667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51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27.5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52</v>
      </c>
      <c r="B20" s="13">
        <f>B19*E16</f>
        <v>50416.66667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7" t="s">
        <v>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5"/>
      <c r="B23" s="11" t="s">
        <v>15</v>
      </c>
      <c r="C23" s="11" t="s">
        <v>26</v>
      </c>
      <c r="D23" s="11" t="s">
        <v>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" t="s">
        <v>28</v>
      </c>
      <c r="B24" s="13">
        <f>B16*B19</f>
        <v>27500</v>
      </c>
      <c r="C24" s="13">
        <f>(C16*B19)+(D16*B19)</f>
        <v>22916.66667</v>
      </c>
      <c r="D24" s="13">
        <f>SUM(B24:C24)</f>
        <v>50416.66667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8" t="s">
        <v>29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6.5" customHeight="1">
      <c r="A27" s="5" t="s">
        <v>27</v>
      </c>
      <c r="B27" s="13">
        <f>D24</f>
        <v>50416.66667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5" t="s">
        <v>30</v>
      </c>
      <c r="B28" s="13">
        <f>(B24*12%)</f>
        <v>3300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5" t="s">
        <v>31</v>
      </c>
      <c r="B29" s="13">
        <f>B24*3%</f>
        <v>825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9" t="s">
        <v>32</v>
      </c>
      <c r="B30" s="20">
        <f>SUM(B27:B29)</f>
        <v>54541.66667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5" t="s">
        <v>34</v>
      </c>
      <c r="B33" s="13">
        <f>B24*8%</f>
        <v>2200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5" t="s">
        <v>35</v>
      </c>
      <c r="B34" s="13">
        <v>25.0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19" t="s">
        <v>36</v>
      </c>
      <c r="B35" s="20">
        <f>SUM(B33:B34)</f>
        <v>2225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2" t="s">
        <v>37</v>
      </c>
      <c r="B37" s="23">
        <f>D24-B35</f>
        <v>48191.66667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53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54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16.0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14.0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57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59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30.0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60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61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62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30.0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63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64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65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30.0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66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67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68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30.0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69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5" width="27.71"/>
    <col customWidth="1" hidden="1" min="6" max="6" width="9.29"/>
    <col customWidth="1" min="7" max="26" width="10.71"/>
  </cols>
  <sheetData>
    <row r="1" ht="105.0" customHeight="1">
      <c r="A1" s="24" t="s">
        <v>70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2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4</v>
      </c>
      <c r="B4" s="6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6</v>
      </c>
      <c r="B5" s="7">
        <v>45859.0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7</v>
      </c>
      <c r="B6" s="6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5" t="s">
        <v>9</v>
      </c>
      <c r="B7" s="6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5" t="s">
        <v>11</v>
      </c>
      <c r="B8" s="6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" t="s">
        <v>13</v>
      </c>
      <c r="B9" s="8">
        <v>2.08200120042488E14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0"/>
      <c r="B12" s="11" t="s">
        <v>15</v>
      </c>
      <c r="C12" s="12" t="s">
        <v>16</v>
      </c>
      <c r="D12" s="11" t="s">
        <v>17</v>
      </c>
      <c r="E12" s="11" t="s">
        <v>18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5" t="s">
        <v>19</v>
      </c>
      <c r="B13" s="13">
        <v>30000.0</v>
      </c>
      <c r="C13" s="13">
        <v>15000.0</v>
      </c>
      <c r="D13" s="14">
        <v>10000.0</v>
      </c>
      <c r="E13" s="13">
        <f>SUM(B13:D13)</f>
        <v>55000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5" t="s">
        <v>20</v>
      </c>
      <c r="B15" s="5">
        <v>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21</v>
      </c>
      <c r="B16" s="13">
        <f t="shared" ref="B16:D16" si="1">B13/$B$15</f>
        <v>1000</v>
      </c>
      <c r="C16" s="13">
        <f t="shared" si="1"/>
        <v>500</v>
      </c>
      <c r="D16" s="13">
        <f t="shared" si="1"/>
        <v>333.3333333</v>
      </c>
      <c r="E16" s="13">
        <f>SUM(B16:D16)</f>
        <v>1833.333333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71</v>
      </c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5" t="s">
        <v>23</v>
      </c>
      <c r="B19" s="26">
        <v>30.0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" t="s">
        <v>55</v>
      </c>
      <c r="B20" s="26">
        <v>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6" t="s">
        <v>56</v>
      </c>
      <c r="B21" s="26">
        <f>SUM(B19:B20)</f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 t="s">
        <v>72</v>
      </c>
      <c r="B22" s="13">
        <f>B21*E16</f>
        <v>55000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5"/>
      <c r="B25" s="11" t="s">
        <v>15</v>
      </c>
      <c r="C25" s="11" t="s">
        <v>26</v>
      </c>
      <c r="D25" s="11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" t="s">
        <v>28</v>
      </c>
      <c r="B26" s="13">
        <f>B16*B21</f>
        <v>30000</v>
      </c>
      <c r="C26" s="13">
        <f>(C16*B21)+(D16*B21)</f>
        <v>25000</v>
      </c>
      <c r="D26" s="13">
        <f>SUM(B26:C26)</f>
        <v>55000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8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6.5" customHeight="1">
      <c r="A29" s="5" t="s">
        <v>27</v>
      </c>
      <c r="B29" s="13">
        <f>D26</f>
        <v>55000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 t="s">
        <v>30</v>
      </c>
      <c r="B30" s="13">
        <f>(B26*12%)</f>
        <v>3600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 t="s">
        <v>31</v>
      </c>
      <c r="B31" s="13">
        <f>B26*3%</f>
        <v>900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9" t="s">
        <v>32</v>
      </c>
      <c r="B32" s="20">
        <f>SUM(B29:B31)</f>
        <v>59500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5" t="s">
        <v>34</v>
      </c>
      <c r="B35" s="13">
        <f>B26*8%</f>
        <v>2400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19" t="s">
        <v>36</v>
      </c>
      <c r="B36" s="20">
        <f>SUM(B35)</f>
        <v>2400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2" t="s">
        <v>37</v>
      </c>
      <c r="B38" s="23">
        <f>D26-B36</f>
        <v>52600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Channa Yapa Bandara</dc:creator>
</cp:coreProperties>
</file>